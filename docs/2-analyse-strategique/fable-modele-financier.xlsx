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ynthèse" sheetId="1" state="visible" r:id="rId1"/>
    <sheet name="Hypothèses" sheetId="2" state="visible" r:id="rId2"/>
    <sheet name="Modèles" sheetId="3" state="visible" r:id="rId3"/>
    <sheet name="Unité" sheetId="4" state="visible" r:id="rId4"/>
    <sheet name="Prévis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€#,##0.00;&quot;(€&quot;#,##0.00\);\-"/>
    <numFmt numFmtId="165" formatCode="0.0%;\(0.0%\);\-"/>
    <numFmt numFmtId="166" formatCode="#,##0;\(#,##0\);\-"/>
    <numFmt numFmtId="167" formatCode="\€#,##0;&quot;(€&quot;#,##0\);\-"/>
    <numFmt numFmtId="168" formatCode="\$#,##0.0000;&quot;($&quot;#,##0.0000\);\-"/>
    <numFmt numFmtId="169" formatCode="\$#,##0.00;&quot;($&quot;#,##0.00\)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68" fontId="11" fillId="3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center" wrapText="1"/>
    </xf>
    <xf numFmtId="169" fontId="11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3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68" fontId="11" fillId="3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center" wrapText="1"/>
    </xf>
    <xf numFmtId="169" fontId="11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35" min="1" max="1"/>
    <col width="20" customWidth="1" style="35" min="2" max="2"/>
  </cols>
  <sheetData>
    <row r="1" ht="17.35" customHeight="1" s="36">
      <c r="A1" s="37" t="inlineStr">
        <is>
          <t>Fable — synthèse (tout est calculé depuis Hypothèses)</t>
        </is>
      </c>
    </row>
    <row r="3" ht="15" customHeight="1" s="36">
      <c r="A3" s="38" t="inlineStr">
        <is>
          <t>PAR ABONNÉ / MOIS</t>
        </is>
      </c>
    </row>
    <row r="4" ht="15" customHeight="1" s="36">
      <c r="A4" s="39" t="inlineStr">
        <is>
          <t>Modèle texte</t>
        </is>
      </c>
      <c r="B4" s="40">
        <f>Hypothèses!B28</f>
        <v/>
      </c>
    </row>
    <row r="5" ht="15" customHeight="1" s="36">
      <c r="A5" s="39" t="inlineStr">
        <is>
          <t>Plateforme de paiement</t>
        </is>
      </c>
      <c r="B5" s="40">
        <f>Hypothèses!B7</f>
        <v/>
      </c>
    </row>
    <row r="6" ht="15" customHeight="1" s="36">
      <c r="A6" s="39" t="inlineStr">
        <is>
          <t>Prix TTC</t>
        </is>
      </c>
      <c r="B6" s="41">
        <f>Unité!B4</f>
        <v/>
      </c>
    </row>
    <row r="7" ht="15" customHeight="1" s="36">
      <c r="A7" s="39" t="inlineStr">
        <is>
          <t>Ce qu'il te reste net (abonnement + crédits)</t>
        </is>
      </c>
      <c r="B7" s="41">
        <f>Unité!B10</f>
        <v/>
      </c>
    </row>
    <row r="8" ht="15" customHeight="1" s="36">
      <c r="A8" s="39" t="inlineStr">
        <is>
          <t>Ce que tu payes (API + images)</t>
        </is>
      </c>
      <c r="B8" s="41">
        <f>Unité!B19</f>
        <v/>
      </c>
    </row>
    <row r="9" ht="15" customHeight="1" s="36">
      <c r="A9" s="42" t="inlineStr">
        <is>
          <t>Marge brute / abonné</t>
        </is>
      </c>
      <c r="B9" s="43">
        <f>Unité!B22</f>
        <v/>
      </c>
    </row>
    <row r="10" ht="15" customHeight="1" s="36">
      <c r="A10" s="39" t="inlineStr">
        <is>
          <t>Taux de marge brute</t>
        </is>
      </c>
      <c r="B10" s="44">
        <f>Unité!B23</f>
        <v/>
      </c>
    </row>
    <row r="12" ht="15" customHeight="1" s="36">
      <c r="A12" s="38" t="inlineStr">
        <is>
          <t>COMBIEN DE CLIENTS</t>
        </is>
      </c>
    </row>
    <row r="13" ht="15" customHeight="1" s="36">
      <c r="A13" s="39" t="inlineStr">
        <is>
          <t>Pour couvrir les coûts fixes</t>
        </is>
      </c>
      <c r="B13" s="45">
        <f>Unité!B28</f>
        <v/>
      </c>
    </row>
    <row r="14" ht="15" customHeight="1" s="36">
      <c r="A14" s="42" t="inlineStr">
        <is>
          <t>Pour couvrir coûts fixes + ton temps</t>
        </is>
      </c>
      <c r="B14" s="46">
        <f>Unité!B29</f>
        <v/>
      </c>
    </row>
    <row r="15" ht="15" customHeight="1" s="36">
      <c r="A15" s="39" t="inlineStr">
        <is>
          <t>Pour te payer 2 000 € / mois</t>
        </is>
      </c>
      <c r="B15" s="45">
        <f>Unité!B30</f>
        <v/>
      </c>
    </row>
    <row r="17" ht="15" customHeight="1" s="36">
      <c r="A17" s="38" t="inlineStr">
        <is>
          <t>SUR 12 MOIS</t>
        </is>
      </c>
    </row>
    <row r="18" ht="15" customHeight="1" s="36">
      <c r="A18" s="39" t="inlineStr">
        <is>
          <t>Abonnés fin d'année</t>
        </is>
      </c>
      <c r="B18" s="45">
        <f>Prévision!M7</f>
        <v/>
      </c>
    </row>
    <row r="19" ht="15" customHeight="1" s="36">
      <c r="A19" s="39" t="inlineStr">
        <is>
          <t>Point mort cash</t>
        </is>
      </c>
      <c r="B19" s="40">
        <f>Prévision!B24</f>
        <v/>
      </c>
    </row>
    <row r="20" ht="15" customHeight="1" s="36">
      <c r="A20" s="39" t="inlineStr">
        <is>
          <t>Point mort après ton temps</t>
        </is>
      </c>
      <c r="B20" s="40">
        <f>Prévision!B25</f>
        <v/>
      </c>
    </row>
    <row r="21" ht="15" customHeight="1" s="36">
      <c r="A21" s="42" t="inlineStr">
        <is>
          <t>Résultat cash annuel</t>
        </is>
      </c>
      <c r="B21" s="47">
        <f>Prévision!N13</f>
        <v/>
      </c>
    </row>
    <row r="22" ht="15" customHeight="1" s="36">
      <c r="A22" s="42" t="inlineStr">
        <is>
          <t>Résultat annuel après ton temps</t>
        </is>
      </c>
      <c r="B22" s="47">
        <f>Prévision!N17</f>
        <v/>
      </c>
    </row>
    <row r="24" ht="15" customHeight="1" s="36">
      <c r="A24" s="38" t="inlineStr">
        <is>
          <t>COMPARATIF MODÈLES — marge brute / abonné / mois</t>
        </is>
      </c>
    </row>
    <row r="25" ht="15" customHeight="1" s="36">
      <c r="A25" s="40">
        <f>Modèles!A4</f>
        <v/>
      </c>
      <c r="B25" s="41">
        <f>Modèles!I4</f>
        <v/>
      </c>
    </row>
    <row r="26" ht="15" customHeight="1" s="36">
      <c r="A26" s="40">
        <f>Modèles!A5</f>
        <v/>
      </c>
      <c r="B26" s="41">
        <f>Modèles!I5</f>
        <v/>
      </c>
    </row>
    <row r="27" ht="15" customHeight="1" s="36">
      <c r="A27" s="40">
        <f>Modèles!A6</f>
        <v/>
      </c>
      <c r="B27" s="41">
        <f>Modèles!I6</f>
        <v/>
      </c>
    </row>
    <row r="28" ht="15" customHeight="1" s="36">
      <c r="A28" s="40">
        <f>Modèles!A7</f>
        <v/>
      </c>
      <c r="B28" s="41">
        <f>Modèles!I7</f>
        <v/>
      </c>
    </row>
    <row r="29" ht="15" customHeight="1" s="36">
      <c r="A29" s="40">
        <f>Modèles!A8</f>
        <v/>
      </c>
      <c r="B29" s="41">
        <f>Modèles!I8</f>
        <v/>
      </c>
    </row>
    <row r="31" ht="15" customHeight="1" s="36">
      <c r="A31" s="48" t="inlineStr">
        <is>
          <t>Lecture : une marge brute négative sur une ligne = ce modèle ne peut pas être vendu 4,99 € avec cet usage. Ajuste le quota de chapitres (Hypothèses!B16) ou le prix.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5" min="1" max="1"/>
    <col width="18" customWidth="1" style="35" min="2" max="2"/>
    <col width="60" customWidth="1" style="35" min="3" max="3"/>
  </cols>
  <sheetData>
    <row r="1" ht="17.35" customHeight="1" s="36">
      <c r="A1" s="37" t="inlineStr">
        <is>
          <t>Hypothèses — modifie uniquement les cellules en bleu (fond jaune = leviers clés)</t>
        </is>
      </c>
    </row>
    <row r="2" ht="15" customHeight="1" s="36">
      <c r="A2" s="48" t="inlineStr">
        <is>
          <t>Bleu = saisie · Noir = formule · Vert = lien vers une autre feuille. Toutes les valeurs ci-dessous viennent de toi ou de nos échanges ; sources indiquées en colonne C.</t>
        </is>
      </c>
    </row>
    <row r="4" ht="15" customHeight="1" s="36">
      <c r="A4" s="38" t="inlineStr">
        <is>
          <t>REVENUS</t>
        </is>
      </c>
    </row>
    <row r="5" ht="15" customHeight="1" s="36">
      <c r="A5" s="39" t="inlineStr">
        <is>
          <t>Prix abonnement TTC (€ / mois)</t>
        </is>
      </c>
      <c r="B5" s="49" t="n">
        <v>4.99</v>
      </c>
      <c r="C5" s="48" t="inlineStr">
        <is>
          <t>Ta cible</t>
        </is>
      </c>
    </row>
    <row r="6" ht="15" customHeight="1" s="36">
      <c r="A6" s="39" t="inlineStr">
        <is>
          <t>TVA</t>
        </is>
      </c>
      <c r="B6" s="50" t="n">
        <v>0.2</v>
      </c>
      <c r="C6" s="48" t="inlineStr">
        <is>
          <t>Services numériques en France : 20 %</t>
        </is>
      </c>
    </row>
    <row r="7" ht="15" customHeight="1" s="36">
      <c r="A7" s="39" t="inlineStr">
        <is>
          <t>Plateforme de paiement</t>
        </is>
      </c>
      <c r="B7" s="51" t="inlineStr">
        <is>
          <t>Apple 15%</t>
        </is>
      </c>
      <c r="C7" s="48" t="inlineStr">
        <is>
          <t>Liste : Stripe / Apple 30% / Apple 15%</t>
        </is>
      </c>
    </row>
    <row r="8" ht="15" customHeight="1" s="36">
      <c r="A8" s="39" t="inlineStr">
        <is>
          <t>Commission Stripe (%)</t>
        </is>
      </c>
      <c r="B8" s="50" t="n">
        <v>0.015</v>
      </c>
      <c r="C8" s="48" t="inlineStr">
        <is>
          <t>Cartes UE, ordre de grandeur — vérifie ton contrat</t>
        </is>
      </c>
    </row>
    <row r="9" ht="15" customHeight="1" s="36">
      <c r="A9" s="39" t="inlineStr">
        <is>
          <t>Frais fixe Stripe (€ / transaction)</t>
        </is>
      </c>
      <c r="B9" s="52" t="n">
        <v>0.25</v>
      </c>
    </row>
    <row r="10" ht="15" customHeight="1" s="36">
      <c r="A10" s="39" t="inlineStr">
        <is>
          <t>Commission Apple standard</t>
        </is>
      </c>
      <c r="B10" s="50" t="n">
        <v>0.3</v>
      </c>
      <c r="C10" s="48" t="inlineStr">
        <is>
          <t>Achats in-app</t>
        </is>
      </c>
    </row>
    <row r="11" ht="15" customHeight="1" s="36">
      <c r="A11" s="39" t="inlineStr">
        <is>
          <t>Commission Apple Small Business</t>
        </is>
      </c>
      <c r="B11" s="50" t="n">
        <v>0.15</v>
      </c>
      <c r="C11" s="48" t="inlineStr">
        <is>
          <t>&lt; 1 M$ de CA annuel</t>
        </is>
      </c>
    </row>
    <row r="12" ht="15" customHeight="1" s="36">
      <c r="A12" s="39" t="inlineStr">
        <is>
          <t>Prix d'une image vendue en crédit (€ TTC)</t>
        </is>
      </c>
      <c r="B12" s="49" t="n">
        <v>0.2</v>
      </c>
      <c r="C12" s="48" t="inlineStr">
        <is>
          <t>Crédits hors abonnement</t>
        </is>
      </c>
    </row>
    <row r="13" ht="15" customHeight="1" s="36">
      <c r="A13" s="39" t="inlineStr">
        <is>
          <t>Images achetées en crédits / abonné / mois</t>
        </is>
      </c>
      <c r="B13" s="53" t="n">
        <v>4</v>
      </c>
      <c r="C13" s="48" t="inlineStr">
        <is>
          <t>Hypothèse de comportement — à mesurer en bêta</t>
        </is>
      </c>
    </row>
    <row r="15" ht="15" customHeight="1" s="36">
      <c r="A15" s="38" t="inlineStr">
        <is>
          <t>USAGE PAR ABONNÉ</t>
        </is>
      </c>
    </row>
    <row r="16" ht="15" customHeight="1" s="36">
      <c r="A16" s="39" t="inlineStr">
        <is>
          <t>Chapitres lus / abonné / mois</t>
        </is>
      </c>
      <c r="B16" s="54" t="n">
        <v>48</v>
      </c>
      <c r="C16" s="48" t="inlineStr">
        <is>
          <t>≈ 2 livres de 24 chapitres</t>
        </is>
      </c>
    </row>
    <row r="17" ht="15" customHeight="1" s="36">
      <c r="A17" s="39" t="inlineStr">
        <is>
          <t>Images incluses dans l'abonnement / mois</t>
        </is>
      </c>
      <c r="B17" s="54" t="n">
        <v>3</v>
      </c>
      <c r="C17" s="48" t="inlineStr">
        <is>
          <t>0 si tout passe en crédits</t>
        </is>
      </c>
    </row>
    <row r="18" ht="15" customHeight="1" s="36">
      <c r="A18" s="39" t="inlineStr">
        <is>
          <t>Chapitres par livre</t>
        </is>
      </c>
      <c r="B18" s="53" t="n">
        <v>24</v>
      </c>
      <c r="C18" s="48" t="inlineStr">
        <is>
          <t>Niveau « moyen »</t>
        </is>
      </c>
    </row>
    <row r="20" ht="15" customHeight="1" s="36">
      <c r="A20" s="38" t="inlineStr">
        <is>
          <t>TOKENS PAR CHAPITRE (appel chapitre)</t>
        </is>
      </c>
    </row>
    <row r="21" ht="15" customHeight="1" s="36">
      <c r="A21" s="39" t="inlineStr">
        <is>
          <t>Entrée non cachée (pilotage, dernier chapitre…)</t>
        </is>
      </c>
      <c r="B21" s="53" t="n">
        <v>1000</v>
      </c>
      <c r="C21" s="48" t="inlineStr">
        <is>
          <t>Tes logs cost_logs, sept. 2026</t>
        </is>
      </c>
    </row>
    <row r="22" ht="15" customHeight="1" s="36">
      <c r="A22" s="39" t="inlineStr">
        <is>
          <t>Entrée cachée (bible, registre, règles)</t>
        </is>
      </c>
      <c r="B22" s="53" t="n">
        <v>4500</v>
      </c>
      <c r="C22" s="48" t="inlineStr">
        <is>
          <t>Idem — suppose que le cache fonctionne</t>
        </is>
      </c>
    </row>
    <row r="23" ht="15" customHeight="1" s="36">
      <c r="A23" s="39" t="inlineStr">
        <is>
          <t>Sortie (texte + titre + choix)</t>
        </is>
      </c>
      <c r="B23" s="53" t="n">
        <v>3000</v>
      </c>
      <c r="C23" s="48" t="inlineStr">
        <is>
          <t>≈ 1 400 mots FR</t>
        </is>
      </c>
    </row>
    <row r="24" ht="15" customHeight="1" s="36">
      <c r="A24" s="39" t="inlineStr">
        <is>
          <t>Post-traitement entrée (résumé+état+plan, sur Luna)</t>
        </is>
      </c>
      <c r="B24" s="53" t="n">
        <v>9600</v>
      </c>
      <c r="C24" s="48" t="inlineStr">
        <is>
          <t>3 appels parallèles</t>
        </is>
      </c>
    </row>
    <row r="25" ht="15" customHeight="1" s="36">
      <c r="A25" s="39" t="inlineStr">
        <is>
          <t>Post-traitement sortie (sur Luna)</t>
        </is>
      </c>
      <c r="B25" s="53" t="n">
        <v>1100</v>
      </c>
    </row>
    <row r="27" ht="15" customHeight="1" s="36">
      <c r="A27" s="38" t="inlineStr">
        <is>
          <t>MODÈLE &amp; IMAGES</t>
        </is>
      </c>
    </row>
    <row r="28" ht="15" customHeight="1" s="36">
      <c r="A28" s="39" t="inlineStr">
        <is>
          <t>Modèle texte (chapitre / prologue)</t>
        </is>
      </c>
      <c r="B28" s="51" t="inlineStr">
        <is>
          <t>Claude Haiku 4.5</t>
        </is>
      </c>
      <c r="C28" s="48" t="inlineStr">
        <is>
          <t>Liste : voir feuille Modèles</t>
        </is>
      </c>
    </row>
    <row r="29" ht="15" customHeight="1" s="36">
      <c r="A29" s="39" t="inlineStr">
        <is>
          <t>Coût d'une image ($)</t>
        </is>
      </c>
      <c r="B29" s="55" t="n">
        <v>0.04</v>
      </c>
      <c r="C29" s="48" t="inlineStr">
        <is>
          <t>Imagen 4 Standard 0,04 $ ; Fast 0,02 $ ; Ultra 0,06 $ (2026)</t>
        </is>
      </c>
    </row>
    <row r="30" ht="15" customHeight="1" s="36">
      <c r="A30" s="39" t="inlineStr">
        <is>
          <t>Taux de change : 1 € = x $</t>
        </is>
      </c>
      <c r="B30" s="56" t="n">
        <v>1.08</v>
      </c>
      <c r="C30" s="48" t="inlineStr">
        <is>
          <t>À actualiser</t>
        </is>
      </c>
    </row>
    <row r="32" ht="15" customHeight="1" s="36">
      <c r="A32" s="38" t="inlineStr">
        <is>
          <t>COÛTS FIXES MENSUELS (€ HT)</t>
        </is>
      </c>
    </row>
    <row r="33" ht="15" customHeight="1" s="36">
      <c r="A33" s="39" t="inlineStr">
        <is>
          <t>Hébergement (Vercel)</t>
        </is>
      </c>
      <c r="B33" s="52" t="n">
        <v>20</v>
      </c>
    </row>
    <row r="34" ht="15" customHeight="1" s="36">
      <c r="A34" s="39" t="inlineStr">
        <is>
          <t>Base de données / auth (Supabase)</t>
        </is>
      </c>
      <c r="B34" s="52" t="n">
        <v>25</v>
      </c>
    </row>
    <row r="35" ht="15" customHeight="1" s="36">
      <c r="A35" s="39" t="inlineStr">
        <is>
          <t>Stockage images (R2 / Storage)</t>
        </is>
      </c>
      <c r="B35" s="52" t="n">
        <v>5</v>
      </c>
    </row>
    <row r="36" ht="15" customHeight="1" s="36">
      <c r="A36" s="39" t="inlineStr">
        <is>
          <t>Domaine, e-mails</t>
        </is>
      </c>
      <c r="B36" s="52" t="n">
        <v>3</v>
      </c>
    </row>
    <row r="37" ht="15" customHeight="1" s="36">
      <c r="A37" s="39" t="inlineStr">
        <is>
          <t>Outils, compta, banque</t>
        </is>
      </c>
      <c r="B37" s="52" t="n">
        <v>30</v>
      </c>
    </row>
    <row r="38" ht="15" customHeight="1" s="36">
      <c r="A38" s="39" t="inlineStr">
        <is>
          <t>Autre</t>
        </is>
      </c>
      <c r="B38" s="52" t="n">
        <v>0</v>
      </c>
    </row>
    <row r="39" ht="15" customHeight="1" s="36">
      <c r="A39" s="42" t="inlineStr">
        <is>
          <t>Total coûts fixes / mois</t>
        </is>
      </c>
      <c r="B39" s="57">
        <f>SUM(B33:B38)</f>
        <v/>
      </c>
    </row>
    <row r="41" ht="15" customHeight="1" s="36">
      <c r="A41" s="38" t="inlineStr">
        <is>
          <t>TON TEMPS (non décaissé, mais réel)</t>
        </is>
      </c>
    </row>
    <row r="42" ht="15" customHeight="1" s="36">
      <c r="A42" s="39" t="inlineStr">
        <is>
          <t>Heures / mois</t>
        </is>
      </c>
      <c r="B42" s="54" t="n">
        <v>40</v>
      </c>
    </row>
    <row r="43" ht="15" customHeight="1" s="36">
      <c r="A43" s="39" t="inlineStr">
        <is>
          <t>Valorisation de ton heure (€)</t>
        </is>
      </c>
      <c r="B43" s="52" t="n">
        <v>40</v>
      </c>
    </row>
    <row r="44" ht="15" customHeight="1" s="36">
      <c r="A44" s="42" t="inlineStr">
        <is>
          <t>Coût du temps / mois</t>
        </is>
      </c>
      <c r="B44" s="57">
        <f>B42*B43</f>
        <v/>
      </c>
    </row>
    <row r="46" ht="15" customHeight="1" s="36">
      <c r="A46" s="38" t="inlineStr">
        <is>
          <t>CROISSANCE</t>
        </is>
      </c>
    </row>
    <row r="47" ht="15" customHeight="1" s="36">
      <c r="A47" s="39" t="inlineStr">
        <is>
          <t>Abonnés payants au départ</t>
        </is>
      </c>
      <c r="B47" s="53" t="n">
        <v>0</v>
      </c>
    </row>
    <row r="48" ht="15" customHeight="1" s="36">
      <c r="A48" s="39" t="inlineStr">
        <is>
          <t>Nouveaux abonnés au mois 1</t>
        </is>
      </c>
      <c r="B48" s="54" t="n">
        <v>20</v>
      </c>
    </row>
    <row r="49" ht="15" customHeight="1" s="36">
      <c r="A49" s="39" t="inlineStr">
        <is>
          <t>Croissance mensuelle des nouveaux abonnés</t>
        </is>
      </c>
      <c r="B49" s="58" t="n">
        <v>0.15</v>
      </c>
    </row>
    <row r="50" ht="15" customHeight="1" s="36">
      <c r="A50" s="39" t="inlineStr">
        <is>
          <t>Churn mensuel (désabonnements)</t>
        </is>
      </c>
      <c r="B50" s="58" t="n">
        <v>0.08</v>
      </c>
      <c r="C50" s="48" t="inlineStr">
        <is>
          <t>8 % = médiane SaaS grand public</t>
        </is>
      </c>
    </row>
  </sheetData>
  <dataValidations count="2">
    <dataValidation sqref="B7" showDropDown="0" showInputMessage="0" showErrorMessage="0" allowBlank="0" type="list" errorStyle="stop" operator="between">
      <formula1>"Stripe,Apple 30%,Apple 15%"</formula1>
      <formula2>0</formula2>
    </dataValidation>
    <dataValidation sqref="B28" showDropDown="0" showInputMessage="0" showErrorMessage="0" allowBlank="0" type="list" errorStyle="stop" operator="between">
      <formula1>Modèles!$A$4:$A$8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5" min="1" max="1"/>
    <col width="11" customWidth="1" style="35" min="2" max="3"/>
    <col width="12" customWidth="1" style="35" min="4" max="4"/>
    <col width="15" customWidth="1" style="35" min="5" max="5"/>
    <col width="13" customWidth="1" style="35" min="6" max="6"/>
    <col width="18" customWidth="1" style="35" min="7" max="9"/>
    <col width="55" customWidth="1" style="35" min="10" max="10"/>
  </cols>
  <sheetData>
    <row r="1" ht="17.35" customHeight="1" s="36">
      <c r="A1" s="37" t="inlineStr">
        <is>
          <t>Modèles de texte — coût par chapitre, par livre, par abonné (le modèle choisi est dans Hypothèses!B28)</t>
        </is>
      </c>
    </row>
    <row r="3" ht="23.85" customHeight="1" s="36">
      <c r="A3" s="59" t="inlineStr">
        <is>
          <t>Modèle</t>
        </is>
      </c>
      <c r="B3" s="59" t="inlineStr">
        <is>
          <t>Entrée $/M</t>
        </is>
      </c>
      <c r="C3" s="59" t="inlineStr">
        <is>
          <t>Sortie $/M</t>
        </is>
      </c>
      <c r="D3" s="59" t="inlineStr">
        <is>
          <t>Cache lu $/M</t>
        </is>
      </c>
      <c r="E3" s="59" t="inlineStr">
        <is>
          <t>Coût chapitre ($)</t>
        </is>
      </c>
      <c r="F3" s="59" t="inlineStr">
        <is>
          <t>Coût livre ($)</t>
        </is>
      </c>
      <c r="G3" s="59" t="inlineStr">
        <is>
          <t>Coût texte / abonné / mois ($)</t>
        </is>
      </c>
      <c r="H3" s="59" t="inlineStr">
        <is>
          <t>Coût texte / abonné / mois (€)</t>
        </is>
      </c>
      <c r="I3" s="59" t="inlineStr">
        <is>
          <t>Marge brute / abonné (€)</t>
        </is>
      </c>
      <c r="J3" s="59" t="inlineStr">
        <is>
          <t>Source / note</t>
        </is>
      </c>
    </row>
    <row r="4" ht="15" customHeight="1" s="36">
      <c r="A4" s="39" t="inlineStr">
        <is>
          <t>GPT-5.6 Luna</t>
        </is>
      </c>
      <c r="B4" s="60" t="n">
        <v>0.2</v>
      </c>
      <c r="C4" s="60" t="n">
        <v>1.2</v>
      </c>
      <c r="D4" s="60" t="n">
        <v>0.02</v>
      </c>
      <c r="E4" s="61">
        <f>(Hypothèses!$B$21*B4+Hypothèses!$B$22*D4+Hypothèses!$B$23*C4)/1000000+(Hypothèses!$B$24*$B$4+Hypothèses!$B$25*$C$4)/1000000</f>
        <v/>
      </c>
      <c r="F4" s="62">
        <f>E4*Hypothèses!$B$18</f>
        <v/>
      </c>
      <c r="G4" s="62">
        <f>E4*Hypothèses!$B$16</f>
        <v/>
      </c>
      <c r="H4" s="63">
        <f>G4/Hypothèses!$B$30</f>
        <v/>
      </c>
      <c r="I4" s="63">
        <f>Unité!$B$10-H4-Unité!$B$16</f>
        <v/>
      </c>
      <c r="J4" s="48" t="inlineStr">
        <is>
          <t>OpenAI docs, sept. 2026 (tier nano)</t>
        </is>
      </c>
    </row>
    <row r="5" ht="15" customHeight="1" s="36">
      <c r="A5" s="39" t="inlineStr">
        <is>
          <t>Claude Haiku 4.5</t>
        </is>
      </c>
      <c r="B5" s="60" t="n">
        <v>1</v>
      </c>
      <c r="C5" s="60" t="n">
        <v>5</v>
      </c>
      <c r="D5" s="60" t="n">
        <v>0.1</v>
      </c>
      <c r="E5" s="61">
        <f>(Hypothèses!$B$21*B5+Hypothèses!$B$22*D5+Hypothèses!$B$23*C5)/1000000+(Hypothèses!$B$24*$B$4+Hypothèses!$B$25*$C$4)/1000000</f>
        <v/>
      </c>
      <c r="F5" s="62">
        <f>E5*Hypothèses!$B$18</f>
        <v/>
      </c>
      <c r="G5" s="62">
        <f>E5*Hypothèses!$B$16</f>
        <v/>
      </c>
      <c r="H5" s="63">
        <f>G5/Hypothèses!$B$30</f>
        <v/>
      </c>
      <c r="I5" s="63">
        <f>Unité!$B$10-H5-Unité!$B$16</f>
        <v/>
      </c>
      <c r="J5" s="48" t="inlineStr">
        <is>
          <t>Anthropic, sept. 2026 ; cache lu = 10 % de l'entrée</t>
        </is>
      </c>
    </row>
    <row r="6" ht="15" customHeight="1" s="36">
      <c r="A6" s="39" t="inlineStr">
        <is>
          <t>GPT-5.6 Terra</t>
        </is>
      </c>
      <c r="B6" s="60" t="n">
        <v>2</v>
      </c>
      <c r="C6" s="60" t="n">
        <v>12</v>
      </c>
      <c r="D6" s="60" t="n">
        <v>0.2</v>
      </c>
      <c r="E6" s="61">
        <f>(Hypothèses!$B$21*B6+Hypothèses!$B$22*D6+Hypothèses!$B$23*C6)/1000000+(Hypothèses!$B$24*$B$4+Hypothèses!$B$25*$C$4)/1000000</f>
        <v/>
      </c>
      <c r="F6" s="62">
        <f>E6*Hypothèses!$B$18</f>
        <v/>
      </c>
      <c r="G6" s="62">
        <f>E6*Hypothèses!$B$16</f>
        <v/>
      </c>
      <c r="H6" s="63">
        <f>G6/Hypothèses!$B$30</f>
        <v/>
      </c>
      <c r="I6" s="63">
        <f>Unité!$B$10-H6-Unité!$B$16</f>
        <v/>
      </c>
      <c r="J6" s="48" t="inlineStr">
        <is>
          <t>OpenAI, sept. 2026 ; cache lu supposé 10 % (à vérifier)</t>
        </is>
      </c>
    </row>
    <row r="7" ht="15" customHeight="1" s="36">
      <c r="A7" s="39" t="inlineStr">
        <is>
          <t>Claude Sonnet 5</t>
        </is>
      </c>
      <c r="B7" s="60" t="n">
        <v>3</v>
      </c>
      <c r="C7" s="60" t="n">
        <v>15</v>
      </c>
      <c r="D7" s="60" t="n">
        <v>0.3</v>
      </c>
      <c r="E7" s="61">
        <f>(Hypothèses!$B$21*B7+Hypothèses!$B$22*D7+Hypothèses!$B$23*C7)/1000000+(Hypothèses!$B$24*$B$4+Hypothèses!$B$25*$C$4)/1000000</f>
        <v/>
      </c>
      <c r="F7" s="62">
        <f>E7*Hypothèses!$B$18</f>
        <v/>
      </c>
      <c r="G7" s="62">
        <f>E7*Hypothèses!$B$16</f>
        <v/>
      </c>
      <c r="H7" s="63">
        <f>G7/Hypothèses!$B$30</f>
        <v/>
      </c>
      <c r="I7" s="63">
        <f>Unité!$B$10-H7-Unité!$B$16</f>
        <v/>
      </c>
      <c r="J7" s="48" t="inlineStr">
        <is>
          <t>Anthropic ; promo 2/10 $ terminée le 31/08/2026 — vérifier</t>
        </is>
      </c>
    </row>
    <row r="8" ht="15" customHeight="1" s="36">
      <c r="A8" s="39" t="inlineStr">
        <is>
          <t>Claude Fable 5.1</t>
        </is>
      </c>
      <c r="B8" s="60" t="n">
        <v>10</v>
      </c>
      <c r="C8" s="60" t="n">
        <v>50</v>
      </c>
      <c r="D8" s="60" t="n">
        <v>0.25</v>
      </c>
      <c r="E8" s="61">
        <f>(Hypothèses!$B$21*B8+Hypothèses!$B$22*D8+Hypothèses!$B$23*C8)/1000000+(Hypothèses!$B$24*$B$4+Hypothèses!$B$25*$C$4)/1000000</f>
        <v/>
      </c>
      <c r="F8" s="62">
        <f>E8*Hypothèses!$B$18</f>
        <v/>
      </c>
      <c r="G8" s="62">
        <f>E8*Hypothèses!$B$16</f>
        <v/>
      </c>
      <c r="H8" s="63">
        <f>G8/Hypothèses!$B$30</f>
        <v/>
      </c>
      <c r="I8" s="63">
        <f>Unité!$B$10-H8-Unité!$B$16</f>
        <v/>
      </c>
      <c r="J8" s="48" t="inlineStr">
        <is>
          <t>Anthropic, sept. 2026</t>
        </is>
      </c>
    </row>
    <row r="10" ht="15" customHeight="1" s="36">
      <c r="A10" s="48" t="inlineStr">
        <is>
          <t>Le post-traitement (résumé, état, plan) tourne toujours sur Luna (ligne 4), quel que soit le modèle du chapitre.</t>
        </is>
      </c>
    </row>
    <row r="11" ht="15" customHeight="1" s="36">
      <c r="A11" s="48" t="inlineStr">
        <is>
          <t>Marge brute / abonné = revenu net abonnement − coût texte − coût des images incluses (crédits exclus, voir Unité).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35" min="1" max="1"/>
    <col width="18" customWidth="1" style="35" min="2" max="2"/>
  </cols>
  <sheetData>
    <row r="1" ht="17.35" customHeight="1" s="36">
      <c r="A1" s="37" t="inlineStr">
        <is>
          <t>Économie par abonné et par mois</t>
        </is>
      </c>
    </row>
    <row r="3" ht="15" customHeight="1" s="36">
      <c r="A3" s="38" t="inlineStr">
        <is>
          <t>REVENUS (par abonné / mois)</t>
        </is>
      </c>
    </row>
    <row r="4" ht="15" customHeight="1" s="36">
      <c r="A4" s="39" t="inlineStr">
        <is>
          <t>Abonnement TTC</t>
        </is>
      </c>
      <c r="B4" s="41">
        <f>Hypothèses!B5</f>
        <v/>
      </c>
    </row>
    <row r="5" ht="15" customHeight="1" s="36">
      <c r="A5" s="39" t="inlineStr">
        <is>
          <t>Abonnement HT (après TVA)</t>
        </is>
      </c>
      <c r="B5" s="63">
        <f>B4/(1+Hypothèses!B6)</f>
        <v/>
      </c>
    </row>
    <row r="6" ht="15" customHeight="1" s="36">
      <c r="A6" s="39" t="inlineStr">
        <is>
          <t>Commission plateforme sur l'abonnement</t>
        </is>
      </c>
      <c r="B6" s="63">
        <f>IF(Hypothèses!B7="Stripe",Hypothèses!B8*B4+Hypothèses!B9,IF(Hypothèses!B7="Apple 30%",Hypothèses!B10*B4,Hypothèses!B11*B4))</f>
        <v/>
      </c>
    </row>
    <row r="7" ht="15" customHeight="1" s="36">
      <c r="A7" s="42" t="inlineStr">
        <is>
          <t>Revenu net abonnement</t>
        </is>
      </c>
      <c r="B7" s="57">
        <f>B5-B6</f>
        <v/>
      </c>
    </row>
    <row r="8" ht="15" customHeight="1" s="36">
      <c r="A8" s="39" t="inlineStr">
        <is>
          <t>Crédits images vendus TTC</t>
        </is>
      </c>
      <c r="B8" s="63">
        <f>Hypothèses!B12*Hypothèses!B13</f>
        <v/>
      </c>
    </row>
    <row r="9" ht="15" customHeight="1" s="36">
      <c r="A9" s="39" t="inlineStr">
        <is>
          <t>Revenu net crédits (HT, après commission %)</t>
        </is>
      </c>
      <c r="B9" s="63">
        <f>B8/(1+Hypothèses!B6)-B8*IF(Hypothèses!B7="Stripe",Hypothèses!B8,IF(Hypothèses!B7="Apple 30%",Hypothèses!B10,Hypothèses!B11))</f>
        <v/>
      </c>
    </row>
    <row r="10" ht="15" customHeight="1" s="36">
      <c r="A10" s="42" t="inlineStr">
        <is>
          <t>Revenu net total / abonné</t>
        </is>
      </c>
      <c r="B10" s="57">
        <f>B7+B9</f>
        <v/>
      </c>
    </row>
    <row r="12" ht="15" customHeight="1" s="36">
      <c r="A12" s="38" t="inlineStr">
        <is>
          <t>COÛTS VARIABLES (par abonné / mois)</t>
        </is>
      </c>
    </row>
    <row r="13" ht="15" customHeight="1" s="36">
      <c r="A13" s="39" t="inlineStr">
        <is>
          <t>Modèle choisi</t>
        </is>
      </c>
      <c r="B13" s="40">
        <f>Hypothèses!B28</f>
        <v/>
      </c>
    </row>
    <row r="14" ht="15" customHeight="1" s="36">
      <c r="A14" s="39" t="inlineStr">
        <is>
          <t>Coût texte par chapitre ($)</t>
        </is>
      </c>
      <c r="B14" s="61">
        <f>INDEX(Modèles!E4:E8,MATCH(B13,Modèles!A4:A8,0))</f>
        <v/>
      </c>
    </row>
    <row r="15" ht="15" customHeight="1" s="36">
      <c r="A15" s="39" t="inlineStr">
        <is>
          <t>Coût texte / mois ($)</t>
        </is>
      </c>
      <c r="B15" s="62">
        <f>B14*Hypothèses!B16</f>
        <v/>
      </c>
    </row>
    <row r="16" ht="15" customHeight="1" s="36">
      <c r="A16" s="39" t="inlineStr">
        <is>
          <t>Coût des images incluses (€)</t>
        </is>
      </c>
      <c r="B16" s="63">
        <f>Hypothèses!B17*Hypothèses!B29/Hypothèses!B30</f>
        <v/>
      </c>
    </row>
    <row r="17" ht="15" customHeight="1" s="36">
      <c r="A17" s="39" t="inlineStr">
        <is>
          <t>Coût des images vendues en crédits (€)</t>
        </is>
      </c>
      <c r="B17" s="63">
        <f>Hypothèses!B13*Hypothèses!B29/Hypothèses!B30</f>
        <v/>
      </c>
    </row>
    <row r="18" ht="15" customHeight="1" s="36">
      <c r="A18" s="39" t="inlineStr">
        <is>
          <t>Coût texte / mois (€)</t>
        </is>
      </c>
      <c r="B18" s="63">
        <f>B15/Hypothèses!B30</f>
        <v/>
      </c>
    </row>
    <row r="19" ht="15" customHeight="1" s="36">
      <c r="A19" s="42" t="inlineStr">
        <is>
          <t>Coût variable total / abonné (€)</t>
        </is>
      </c>
      <c r="B19" s="57">
        <f>B16+B17+B18</f>
        <v/>
      </c>
    </row>
    <row r="21" ht="15" customHeight="1" s="36">
      <c r="A21" s="38" t="inlineStr">
        <is>
          <t>MARGE</t>
        </is>
      </c>
    </row>
    <row r="22" ht="15" customHeight="1" s="36">
      <c r="A22" s="42" t="inlineStr">
        <is>
          <t>Marge brute / abonné / mois (€)</t>
        </is>
      </c>
      <c r="B22" s="57">
        <f>B10-B19</f>
        <v/>
      </c>
    </row>
    <row r="23" ht="15" customHeight="1" s="36">
      <c r="A23" s="39" t="inlineStr">
        <is>
          <t>Taux de marge brute</t>
        </is>
      </c>
      <c r="B23" s="64">
        <f>IF(B10=0,0,B22/B10)</f>
        <v/>
      </c>
    </row>
    <row r="24" ht="15" customHeight="1" s="36">
      <c r="A24" s="39" t="inlineStr">
        <is>
          <t>Part des coûts variables dans le prix TTC</t>
        </is>
      </c>
      <c r="B24" s="64">
        <f>IF(B4=0,0,B19/B4)</f>
        <v/>
      </c>
    </row>
    <row r="25" ht="15" customHeight="1" s="36">
      <c r="A25" s="39" t="inlineStr">
        <is>
          <t>Marge sur les crédits images seuls (€)</t>
        </is>
      </c>
      <c r="B25" s="63">
        <f>B9-B17</f>
        <v/>
      </c>
    </row>
    <row r="27" ht="15" customHeight="1" s="36">
      <c r="A27" s="38" t="inlineStr">
        <is>
          <t>SEUILS</t>
        </is>
      </c>
    </row>
    <row r="28" ht="15" customHeight="1" s="36">
      <c r="A28" s="42" t="inlineStr">
        <is>
          <t>Abonnés pour couvrir les coûts fixes</t>
        </is>
      </c>
      <c r="B28" s="65">
        <f>IF(B22&lt;=0,"marge nulle",ROUNDUP(Hypothèses!B39/B22,0))</f>
        <v/>
      </c>
    </row>
    <row r="29" ht="15" customHeight="1" s="36">
      <c r="A29" s="42" t="inlineStr">
        <is>
          <t>Abonnés pour couvrir coûts fixes + ton temps</t>
        </is>
      </c>
      <c r="B29" s="65">
        <f>IF(B22&lt;=0,"marge nulle",ROUNDUP((Hypothèses!B39+Hypothèses!B44)/B22,0))</f>
        <v/>
      </c>
    </row>
    <row r="30" ht="15" customHeight="1" s="36">
      <c r="A30" s="39" t="inlineStr">
        <is>
          <t>Abonnés pour te payer 2 000 € / mois net de tout</t>
        </is>
      </c>
      <c r="B30" s="66">
        <f>IF(B22&lt;=0,"marge nulle",ROUNDUP((Hypothèses!B39+2000)/B22,0))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35" min="1" max="1"/>
    <col width="11" customWidth="1" style="35" min="2" max="14"/>
  </cols>
  <sheetData>
    <row r="1" ht="17.35" customHeight="1" s="36">
      <c r="A1" s="37" t="inlineStr">
        <is>
          <t>Prévision sur 12 mois (€)</t>
        </is>
      </c>
    </row>
    <row r="3" ht="15" customHeight="1" s="36">
      <c r="A3" s="42" t="inlineStr">
        <is>
          <t>Mois</t>
        </is>
      </c>
      <c r="B3" s="67" t="inlineStr">
        <is>
          <t>M1</t>
        </is>
      </c>
      <c r="C3" s="67" t="inlineStr">
        <is>
          <t>M2</t>
        </is>
      </c>
      <c r="D3" s="67" t="inlineStr">
        <is>
          <t>M3</t>
        </is>
      </c>
      <c r="E3" s="67" t="inlineStr">
        <is>
          <t>M4</t>
        </is>
      </c>
      <c r="F3" s="67" t="inlineStr">
        <is>
          <t>M5</t>
        </is>
      </c>
      <c r="G3" s="67" t="inlineStr">
        <is>
          <t>M6</t>
        </is>
      </c>
      <c r="H3" s="67" t="inlineStr">
        <is>
          <t>M7</t>
        </is>
      </c>
      <c r="I3" s="67" t="inlineStr">
        <is>
          <t>M8</t>
        </is>
      </c>
      <c r="J3" s="67" t="inlineStr">
        <is>
          <t>M9</t>
        </is>
      </c>
      <c r="K3" s="67" t="inlineStr">
        <is>
          <t>M10</t>
        </is>
      </c>
      <c r="L3" s="67" t="inlineStr">
        <is>
          <t>M11</t>
        </is>
      </c>
      <c r="M3" s="67" t="inlineStr">
        <is>
          <t>M12</t>
        </is>
      </c>
      <c r="N3" s="68" t="inlineStr">
        <is>
          <t>Total / Fin</t>
        </is>
      </c>
    </row>
    <row r="4" ht="15" customHeight="1" s="36">
      <c r="A4" s="39" t="inlineStr">
        <is>
          <t>Nouveaux abonnés</t>
        </is>
      </c>
      <c r="B4" s="66">
        <f>Hypothèses!$B$48*(1+Hypothèses!$B$49)^(1-1)</f>
        <v/>
      </c>
      <c r="C4" s="66">
        <f>Hypothèses!$B$48*(1+Hypothèses!$B$49)^(2-1)</f>
        <v/>
      </c>
      <c r="D4" s="66">
        <f>Hypothèses!$B$48*(1+Hypothèses!$B$49)^(3-1)</f>
        <v/>
      </c>
      <c r="E4" s="66">
        <f>Hypothèses!$B$48*(1+Hypothèses!$B$49)^(4-1)</f>
        <v/>
      </c>
      <c r="F4" s="66">
        <f>Hypothèses!$B$48*(1+Hypothèses!$B$49)^(5-1)</f>
        <v/>
      </c>
      <c r="G4" s="66">
        <f>Hypothèses!$B$48*(1+Hypothèses!$B$49)^(6-1)</f>
        <v/>
      </c>
      <c r="H4" s="66">
        <f>Hypothèses!$B$48*(1+Hypothèses!$B$49)^(7-1)</f>
        <v/>
      </c>
      <c r="I4" s="66">
        <f>Hypothèses!$B$48*(1+Hypothèses!$B$49)^(8-1)</f>
        <v/>
      </c>
      <c r="J4" s="66">
        <f>Hypothèses!$B$48*(1+Hypothèses!$B$49)^(9-1)</f>
        <v/>
      </c>
      <c r="K4" s="66">
        <f>Hypothèses!$B$48*(1+Hypothèses!$B$49)^(10-1)</f>
        <v/>
      </c>
      <c r="L4" s="66">
        <f>Hypothèses!$B$48*(1+Hypothèses!$B$49)^(11-1)</f>
        <v/>
      </c>
      <c r="M4" s="66">
        <f>Hypothèses!$B$48*(1+Hypothèses!$B$49)^(12-1)</f>
        <v/>
      </c>
      <c r="N4" s="65">
        <f>SUM(B4:M4)</f>
        <v/>
      </c>
    </row>
    <row r="5" ht="15" customHeight="1" s="36">
      <c r="A5" s="39" t="inlineStr">
        <is>
          <t>Abonnés en début de mois</t>
        </is>
      </c>
      <c r="B5" s="66">
        <f>Hypothèses!$B$47</f>
        <v/>
      </c>
      <c r="C5" s="66">
        <f>B7</f>
        <v/>
      </c>
      <c r="D5" s="66">
        <f>C7</f>
        <v/>
      </c>
      <c r="E5" s="66">
        <f>D7</f>
        <v/>
      </c>
      <c r="F5" s="66">
        <f>E7</f>
        <v/>
      </c>
      <c r="G5" s="66">
        <f>F7</f>
        <v/>
      </c>
      <c r="H5" s="66">
        <f>G7</f>
        <v/>
      </c>
      <c r="I5" s="66">
        <f>H7</f>
        <v/>
      </c>
      <c r="J5" s="66">
        <f>I7</f>
        <v/>
      </c>
      <c r="K5" s="66">
        <f>J7</f>
        <v/>
      </c>
      <c r="L5" s="66">
        <f>K7</f>
        <v/>
      </c>
      <c r="M5" s="66">
        <f>L7</f>
        <v/>
      </c>
    </row>
    <row r="6" ht="15" customHeight="1" s="36">
      <c r="A6" s="39" t="inlineStr">
        <is>
          <t>Désabonnements</t>
        </is>
      </c>
      <c r="B6" s="66">
        <f>B5*Hypothèses!$B$50</f>
        <v/>
      </c>
      <c r="C6" s="66">
        <f>C5*Hypothèses!$B$50</f>
        <v/>
      </c>
      <c r="D6" s="66">
        <f>D5*Hypothèses!$B$50</f>
        <v/>
      </c>
      <c r="E6" s="66">
        <f>E5*Hypothèses!$B$50</f>
        <v/>
      </c>
      <c r="F6" s="66">
        <f>F5*Hypothèses!$B$50</f>
        <v/>
      </c>
      <c r="G6" s="66">
        <f>G5*Hypothèses!$B$50</f>
        <v/>
      </c>
      <c r="H6" s="66">
        <f>H5*Hypothèses!$B$50</f>
        <v/>
      </c>
      <c r="I6" s="66">
        <f>I5*Hypothèses!$B$50</f>
        <v/>
      </c>
      <c r="J6" s="66">
        <f>J5*Hypothèses!$B$50</f>
        <v/>
      </c>
      <c r="K6" s="66">
        <f>K5*Hypothèses!$B$50</f>
        <v/>
      </c>
      <c r="L6" s="66">
        <f>L5*Hypothèses!$B$50</f>
        <v/>
      </c>
      <c r="M6" s="66">
        <f>M5*Hypothèses!$B$50</f>
        <v/>
      </c>
      <c r="N6" s="65">
        <f>SUM(B6:M6)</f>
        <v/>
      </c>
    </row>
    <row r="7" ht="15" customHeight="1" s="36">
      <c r="A7" s="42" t="inlineStr">
        <is>
          <t>Abonnés facturés (fin de mois)</t>
        </is>
      </c>
      <c r="B7" s="65">
        <f>B5+B4-B6</f>
        <v/>
      </c>
      <c r="C7" s="65">
        <f>C5+C4-C6</f>
        <v/>
      </c>
      <c r="D7" s="65">
        <f>D5+D4-D6</f>
        <v/>
      </c>
      <c r="E7" s="65">
        <f>E5+E4-E6</f>
        <v/>
      </c>
      <c r="F7" s="65">
        <f>F5+F4-F6</f>
        <v/>
      </c>
      <c r="G7" s="65">
        <f>G5+G4-G6</f>
        <v/>
      </c>
      <c r="H7" s="65">
        <f>H5+H4-H6</f>
        <v/>
      </c>
      <c r="I7" s="65">
        <f>I5+I4-I6</f>
        <v/>
      </c>
      <c r="J7" s="65">
        <f>J5+J4-J6</f>
        <v/>
      </c>
      <c r="K7" s="65">
        <f>K5+K4-K6</f>
        <v/>
      </c>
      <c r="L7" s="65">
        <f>L5+L4-L6</f>
        <v/>
      </c>
      <c r="M7" s="65">
        <f>M5+M4-M6</f>
        <v/>
      </c>
      <c r="N7" s="65">
        <f>M7</f>
        <v/>
      </c>
    </row>
    <row r="9" ht="15" customHeight="1" s="36">
      <c r="A9" s="39" t="inlineStr">
        <is>
          <t>Revenu net (abonnements + crédits)</t>
        </is>
      </c>
      <c r="B9" s="69">
        <f>B7*Unité!$B$10</f>
        <v/>
      </c>
      <c r="C9" s="69">
        <f>C7*Unité!$B$10</f>
        <v/>
      </c>
      <c r="D9" s="69">
        <f>D7*Unité!$B$10</f>
        <v/>
      </c>
      <c r="E9" s="69">
        <f>E7*Unité!$B$10</f>
        <v/>
      </c>
      <c r="F9" s="69">
        <f>F7*Unité!$B$10</f>
        <v/>
      </c>
      <c r="G9" s="69">
        <f>G7*Unité!$B$10</f>
        <v/>
      </c>
      <c r="H9" s="69">
        <f>H7*Unité!$B$10</f>
        <v/>
      </c>
      <c r="I9" s="69">
        <f>I7*Unité!$B$10</f>
        <v/>
      </c>
      <c r="J9" s="69">
        <f>J7*Unité!$B$10</f>
        <v/>
      </c>
      <c r="K9" s="69">
        <f>K7*Unité!$B$10</f>
        <v/>
      </c>
      <c r="L9" s="69">
        <f>L7*Unité!$B$10</f>
        <v/>
      </c>
      <c r="M9" s="69">
        <f>M7*Unité!$B$10</f>
        <v/>
      </c>
      <c r="N9" s="70">
        <f>SUM(B9:M9)</f>
        <v/>
      </c>
    </row>
    <row r="10" ht="15" customHeight="1" s="36">
      <c r="A10" s="39" t="inlineStr">
        <is>
          <t>Coûts variables (API texte + images)</t>
        </is>
      </c>
      <c r="B10" s="69">
        <f>B7*Unité!$B$19</f>
        <v/>
      </c>
      <c r="C10" s="69">
        <f>C7*Unité!$B$19</f>
        <v/>
      </c>
      <c r="D10" s="69">
        <f>D7*Unité!$B$19</f>
        <v/>
      </c>
      <c r="E10" s="69">
        <f>E7*Unité!$B$19</f>
        <v/>
      </c>
      <c r="F10" s="69">
        <f>F7*Unité!$B$19</f>
        <v/>
      </c>
      <c r="G10" s="69">
        <f>G7*Unité!$B$19</f>
        <v/>
      </c>
      <c r="H10" s="69">
        <f>H7*Unité!$B$19</f>
        <v/>
      </c>
      <c r="I10" s="69">
        <f>I7*Unité!$B$19</f>
        <v/>
      </c>
      <c r="J10" s="69">
        <f>J7*Unité!$B$19</f>
        <v/>
      </c>
      <c r="K10" s="69">
        <f>K7*Unité!$B$19</f>
        <v/>
      </c>
      <c r="L10" s="69">
        <f>L7*Unité!$B$19</f>
        <v/>
      </c>
      <c r="M10" s="69">
        <f>M7*Unité!$B$19</f>
        <v/>
      </c>
      <c r="N10" s="70">
        <f>SUM(B10:M10)</f>
        <v/>
      </c>
    </row>
    <row r="11" ht="15" customHeight="1" s="36">
      <c r="A11" s="42" t="inlineStr">
        <is>
          <t>Marge brute</t>
        </is>
      </c>
      <c r="B11" s="70">
        <f>B9-B10</f>
        <v/>
      </c>
      <c r="C11" s="70">
        <f>C9-C10</f>
        <v/>
      </c>
      <c r="D11" s="70">
        <f>D9-D10</f>
        <v/>
      </c>
      <c r="E11" s="70">
        <f>E9-E10</f>
        <v/>
      </c>
      <c r="F11" s="70">
        <f>F9-F10</f>
        <v/>
      </c>
      <c r="G11" s="70">
        <f>G9-G10</f>
        <v/>
      </c>
      <c r="H11" s="70">
        <f>H9-H10</f>
        <v/>
      </c>
      <c r="I11" s="70">
        <f>I9-I10</f>
        <v/>
      </c>
      <c r="J11" s="70">
        <f>J9-J10</f>
        <v/>
      </c>
      <c r="K11" s="70">
        <f>K9-K10</f>
        <v/>
      </c>
      <c r="L11" s="70">
        <f>L9-L10</f>
        <v/>
      </c>
      <c r="M11" s="70">
        <f>M9-M10</f>
        <v/>
      </c>
      <c r="N11" s="70">
        <f>SUM(B11:M11)</f>
        <v/>
      </c>
    </row>
    <row r="12" ht="15" customHeight="1" s="36">
      <c r="A12" s="39" t="inlineStr">
        <is>
          <t>Coûts fixes</t>
        </is>
      </c>
      <c r="B12" s="69">
        <f>Hypothèses!$B$39</f>
        <v/>
      </c>
      <c r="C12" s="69">
        <f>Hypothèses!$B$39</f>
        <v/>
      </c>
      <c r="D12" s="69">
        <f>Hypothèses!$B$39</f>
        <v/>
      </c>
      <c r="E12" s="69">
        <f>Hypothèses!$B$39</f>
        <v/>
      </c>
      <c r="F12" s="69">
        <f>Hypothèses!$B$39</f>
        <v/>
      </c>
      <c r="G12" s="69">
        <f>Hypothèses!$B$39</f>
        <v/>
      </c>
      <c r="H12" s="69">
        <f>Hypothèses!$B$39</f>
        <v/>
      </c>
      <c r="I12" s="69">
        <f>Hypothèses!$B$39</f>
        <v/>
      </c>
      <c r="J12" s="69">
        <f>Hypothèses!$B$39</f>
        <v/>
      </c>
      <c r="K12" s="69">
        <f>Hypothèses!$B$39</f>
        <v/>
      </c>
      <c r="L12" s="69">
        <f>Hypothèses!$B$39</f>
        <v/>
      </c>
      <c r="M12" s="69">
        <f>Hypothèses!$B$39</f>
        <v/>
      </c>
      <c r="N12" s="70">
        <f>SUM(B12:M12)</f>
        <v/>
      </c>
    </row>
    <row r="13" ht="15" customHeight="1" s="36">
      <c r="A13" s="42" t="inlineStr">
        <is>
          <t>Résultat cash du mois</t>
        </is>
      </c>
      <c r="B13" s="70">
        <f>B11-B12</f>
        <v/>
      </c>
      <c r="C13" s="70">
        <f>C11-C12</f>
        <v/>
      </c>
      <c r="D13" s="70">
        <f>D11-D12</f>
        <v/>
      </c>
      <c r="E13" s="70">
        <f>E11-E12</f>
        <v/>
      </c>
      <c r="F13" s="70">
        <f>F11-F12</f>
        <v/>
      </c>
      <c r="G13" s="70">
        <f>G11-G12</f>
        <v/>
      </c>
      <c r="H13" s="70">
        <f>H11-H12</f>
        <v/>
      </c>
      <c r="I13" s="70">
        <f>I11-I12</f>
        <v/>
      </c>
      <c r="J13" s="70">
        <f>J11-J12</f>
        <v/>
      </c>
      <c r="K13" s="70">
        <f>K11-K12</f>
        <v/>
      </c>
      <c r="L13" s="70">
        <f>L11-L12</f>
        <v/>
      </c>
      <c r="M13" s="70">
        <f>M11-M12</f>
        <v/>
      </c>
      <c r="N13" s="70">
        <f>SUM(B13:M13)</f>
        <v/>
      </c>
    </row>
    <row r="14" ht="15" customHeight="1" s="36">
      <c r="A14" s="42" t="inlineStr">
        <is>
          <t>Résultat cash cumulé</t>
        </is>
      </c>
      <c r="B14" s="70">
        <f>B13</f>
        <v/>
      </c>
      <c r="C14" s="70">
        <f>B14+C13</f>
        <v/>
      </c>
      <c r="D14" s="70">
        <f>C14+D13</f>
        <v/>
      </c>
      <c r="E14" s="70">
        <f>D14+E13</f>
        <v/>
      </c>
      <c r="F14" s="70">
        <f>E14+F13</f>
        <v/>
      </c>
      <c r="G14" s="70">
        <f>F14+G13</f>
        <v/>
      </c>
      <c r="H14" s="70">
        <f>G14+H13</f>
        <v/>
      </c>
      <c r="I14" s="70">
        <f>H14+I13</f>
        <v/>
      </c>
      <c r="J14" s="70">
        <f>I14+J13</f>
        <v/>
      </c>
      <c r="K14" s="70">
        <f>J14+K13</f>
        <v/>
      </c>
      <c r="L14" s="70">
        <f>K14+L13</f>
        <v/>
      </c>
      <c r="M14" s="70">
        <f>L14+M13</f>
        <v/>
      </c>
      <c r="N14" s="70">
        <f>M14</f>
        <v/>
      </c>
    </row>
    <row r="16" ht="15" customHeight="1" s="36">
      <c r="A16" s="39" t="inlineStr">
        <is>
          <t>Coût de ton temps</t>
        </is>
      </c>
      <c r="B16" s="69">
        <f>Hypothèses!$B$44</f>
        <v/>
      </c>
      <c r="C16" s="69">
        <f>Hypothèses!$B$44</f>
        <v/>
      </c>
      <c r="D16" s="69">
        <f>Hypothèses!$B$44</f>
        <v/>
      </c>
      <c r="E16" s="69">
        <f>Hypothèses!$B$44</f>
        <v/>
      </c>
      <c r="F16" s="69">
        <f>Hypothèses!$B$44</f>
        <v/>
      </c>
      <c r="G16" s="69">
        <f>Hypothèses!$B$44</f>
        <v/>
      </c>
      <c r="H16" s="69">
        <f>Hypothèses!$B$44</f>
        <v/>
      </c>
      <c r="I16" s="69">
        <f>Hypothèses!$B$44</f>
        <v/>
      </c>
      <c r="J16" s="69">
        <f>Hypothèses!$B$44</f>
        <v/>
      </c>
      <c r="K16" s="69">
        <f>Hypothèses!$B$44</f>
        <v/>
      </c>
      <c r="L16" s="69">
        <f>Hypothèses!$B$44</f>
        <v/>
      </c>
      <c r="M16" s="69">
        <f>Hypothèses!$B$44</f>
        <v/>
      </c>
      <c r="N16" s="70">
        <f>SUM(B16:M16)</f>
        <v/>
      </c>
    </row>
    <row r="17" ht="15" customHeight="1" s="36">
      <c r="A17" s="42" t="inlineStr">
        <is>
          <t>Résultat après ton temps</t>
        </is>
      </c>
      <c r="B17" s="70">
        <f>B13-B16</f>
        <v/>
      </c>
      <c r="C17" s="70">
        <f>C13-C16</f>
        <v/>
      </c>
      <c r="D17" s="70">
        <f>D13-D16</f>
        <v/>
      </c>
      <c r="E17" s="70">
        <f>E13-E16</f>
        <v/>
      </c>
      <c r="F17" s="70">
        <f>F13-F16</f>
        <v/>
      </c>
      <c r="G17" s="70">
        <f>G13-G16</f>
        <v/>
      </c>
      <c r="H17" s="70">
        <f>H13-H16</f>
        <v/>
      </c>
      <c r="I17" s="70">
        <f>I13-I16</f>
        <v/>
      </c>
      <c r="J17" s="70">
        <f>J13-J16</f>
        <v/>
      </c>
      <c r="K17" s="70">
        <f>K13-K16</f>
        <v/>
      </c>
      <c r="L17" s="70">
        <f>L13-L16</f>
        <v/>
      </c>
      <c r="M17" s="70">
        <f>M13-M16</f>
        <v/>
      </c>
      <c r="N17" s="70">
        <f>SUM(B17:M17)</f>
        <v/>
      </c>
    </row>
    <row r="18" ht="15" customHeight="1" s="36">
      <c r="A18" s="42" t="inlineStr">
        <is>
          <t>Cumulé après ton temps</t>
        </is>
      </c>
      <c r="B18" s="70">
        <f>B17</f>
        <v/>
      </c>
      <c r="C18" s="70">
        <f>B18+C17</f>
        <v/>
      </c>
      <c r="D18" s="70">
        <f>C18+D17</f>
        <v/>
      </c>
      <c r="E18" s="70">
        <f>D18+E17</f>
        <v/>
      </c>
      <c r="F18" s="70">
        <f>E18+F17</f>
        <v/>
      </c>
      <c r="G18" s="70">
        <f>F18+G17</f>
        <v/>
      </c>
      <c r="H18" s="70">
        <f>G18+H17</f>
        <v/>
      </c>
      <c r="I18" s="70">
        <f>H18+I17</f>
        <v/>
      </c>
      <c r="J18" s="70">
        <f>I18+J17</f>
        <v/>
      </c>
      <c r="K18" s="70">
        <f>J18+K17</f>
        <v/>
      </c>
      <c r="L18" s="70">
        <f>K18+L17</f>
        <v/>
      </c>
      <c r="M18" s="70">
        <f>L18+M17</f>
        <v/>
      </c>
      <c r="N18" s="70">
        <f>M18</f>
        <v/>
      </c>
    </row>
    <row r="20" ht="15" customHeight="1" s="36">
      <c r="A20" s="39" t="inlineStr">
        <is>
          <t>Flag : cumul cash ≥ 0</t>
        </is>
      </c>
      <c r="B20" s="66">
        <f>IF(B14&gt;=0,1,0)</f>
        <v/>
      </c>
      <c r="C20" s="66">
        <f>IF(C14&gt;=0,1,0)</f>
        <v/>
      </c>
      <c r="D20" s="66">
        <f>IF(D14&gt;=0,1,0)</f>
        <v/>
      </c>
      <c r="E20" s="66">
        <f>IF(E14&gt;=0,1,0)</f>
        <v/>
      </c>
      <c r="F20" s="66">
        <f>IF(F14&gt;=0,1,0)</f>
        <v/>
      </c>
      <c r="G20" s="66">
        <f>IF(G14&gt;=0,1,0)</f>
        <v/>
      </c>
      <c r="H20" s="66">
        <f>IF(H14&gt;=0,1,0)</f>
        <v/>
      </c>
      <c r="I20" s="66">
        <f>IF(I14&gt;=0,1,0)</f>
        <v/>
      </c>
      <c r="J20" s="66">
        <f>IF(J14&gt;=0,1,0)</f>
        <v/>
      </c>
      <c r="K20" s="66">
        <f>IF(K14&gt;=0,1,0)</f>
        <v/>
      </c>
      <c r="L20" s="66">
        <f>IF(L14&gt;=0,1,0)</f>
        <v/>
      </c>
      <c r="M20" s="66">
        <f>IF(M14&gt;=0,1,0)</f>
        <v/>
      </c>
    </row>
    <row r="21" ht="15" customHeight="1" s="36">
      <c r="A21" s="39" t="inlineStr">
        <is>
          <t>Flag : cumul après temps ≥ 0</t>
        </is>
      </c>
      <c r="B21" s="66">
        <f>IF(B18&gt;=0,1,0)</f>
        <v/>
      </c>
      <c r="C21" s="66">
        <f>IF(C18&gt;=0,1,0)</f>
        <v/>
      </c>
      <c r="D21" s="66">
        <f>IF(D18&gt;=0,1,0)</f>
        <v/>
      </c>
      <c r="E21" s="66">
        <f>IF(E18&gt;=0,1,0)</f>
        <v/>
      </c>
      <c r="F21" s="66">
        <f>IF(F18&gt;=0,1,0)</f>
        <v/>
      </c>
      <c r="G21" s="66">
        <f>IF(G18&gt;=0,1,0)</f>
        <v/>
      </c>
      <c r="H21" s="66">
        <f>IF(H18&gt;=0,1,0)</f>
        <v/>
      </c>
      <c r="I21" s="66">
        <f>IF(I18&gt;=0,1,0)</f>
        <v/>
      </c>
      <c r="J21" s="66">
        <f>IF(J18&gt;=0,1,0)</f>
        <v/>
      </c>
      <c r="K21" s="66">
        <f>IF(K18&gt;=0,1,0)</f>
        <v/>
      </c>
      <c r="L21" s="66">
        <f>IF(L18&gt;=0,1,0)</f>
        <v/>
      </c>
      <c r="M21" s="66">
        <f>IF(M18&gt;=0,1,0)</f>
        <v/>
      </c>
    </row>
    <row r="23" ht="15" customHeight="1" s="36">
      <c r="A23" s="38" t="inlineStr">
        <is>
          <t>POINT MORT</t>
        </is>
      </c>
    </row>
    <row r="24" ht="15" customHeight="1" s="36">
      <c r="A24" s="42" t="inlineStr">
        <is>
          <t>Mois où le cumul cash devient ≥ 0</t>
        </is>
      </c>
      <c r="B24" s="42">
        <f>IFERROR("M"&amp;MATCH(1,B20:M20,0),"pas dans les 12 mois")</f>
        <v/>
      </c>
    </row>
    <row r="25" ht="15" customHeight="1" s="36">
      <c r="A25" s="42" t="inlineStr">
        <is>
          <t>Mois où le cumul couvre aussi ton temps</t>
        </is>
      </c>
      <c r="B25" s="42">
        <f>IFERROR("M"&amp;MATCH(1,B21:M21,0),"pas dans les 12 mois")</f>
        <v/>
      </c>
    </row>
    <row r="26" ht="15" customHeight="1" s="36">
      <c r="A26" s="39" t="inlineStr">
        <is>
          <t>Abonnés en fin d'année</t>
        </is>
      </c>
      <c r="B26" s="66">
        <f>M7</f>
        <v/>
      </c>
    </row>
    <row r="27" ht="15" customHeight="1" s="36">
      <c r="A27" s="39" t="inlineStr">
        <is>
          <t>Revenu annuel net</t>
        </is>
      </c>
      <c r="B27" s="69">
        <f>N9</f>
        <v/>
      </c>
    </row>
    <row r="28" ht="15" customHeight="1" s="36">
      <c r="A28" s="42" t="inlineStr">
        <is>
          <t>Résultat cash annuel</t>
        </is>
      </c>
      <c r="B28" s="70">
        <f>N13</f>
        <v/>
      </c>
    </row>
    <row r="29" ht="15" customHeight="1" s="36">
      <c r="A29" s="42" t="inlineStr">
        <is>
          <t>Résultat annuel après ton temps</t>
        </is>
      </c>
      <c r="B29" s="70">
        <f>N17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2026-09-07T21:36:54Z</dcterms:created>
  <dcterms:modified xsi:type="dcterms:W3CDTF">2026-09-07T21:48:42Z</dcterms:modified>
  <cp:revision>0</cp:revision>
</cp:coreProperties>
</file>